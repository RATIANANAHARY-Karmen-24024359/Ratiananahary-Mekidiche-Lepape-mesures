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ris\Documents\GitHub\Ratiananahary-Mekidiche-Lepape-mesures\"/>
    </mc:Choice>
  </mc:AlternateContent>
  <xr:revisionPtr revIDLastSave="0" documentId="13_ncr:1_{6C9D85FC-AC6A-4F14-A98C-0AAE4E534826}" xr6:coauthVersionLast="47" xr6:coauthVersionMax="47" xr10:uidLastSave="{00000000-0000-0000-0000-000000000000}"/>
  <bookViews>
    <workbookView xWindow="11424" yWindow="0" windowWidth="11712" windowHeight="12336" activeTab="2" xr2:uid="{89837A86-A6A0-43CB-8C11-52B8E1DB3969}"/>
  </bookViews>
  <sheets>
    <sheet name="LOC" sheetId="1" r:id="rId1"/>
    <sheet name="CC" sheetId="2" r:id="rId2"/>
    <sheet name="HALSTEAD" sheetId="3" r:id="rId3"/>
    <sheet name="Feuil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0" i="3" l="1"/>
  <c r="G9" i="3"/>
  <c r="G8" i="3"/>
  <c r="G7" i="3"/>
  <c r="D20" i="3"/>
  <c r="D21" i="3"/>
  <c r="B22" i="3"/>
  <c r="B23" i="3"/>
  <c r="B8" i="2"/>
  <c r="B9" i="2"/>
</calcChain>
</file>

<file path=xl/sharedStrings.xml><?xml version="1.0" encoding="utf-8"?>
<sst xmlns="http://schemas.openxmlformats.org/spreadsheetml/2006/main" count="95" uniqueCount="92">
  <si>
    <t>Total lignes</t>
  </si>
  <si>
    <t>Ficher</t>
  </si>
  <si>
    <t>iqsort0.c</t>
  </si>
  <si>
    <t>Lignes commentaires</t>
  </si>
  <si>
    <t>Lignes code</t>
  </si>
  <si>
    <t>Lignes blanches</t>
  </si>
  <si>
    <t>Complexité Cyclomatique</t>
  </si>
  <si>
    <t>Éléments</t>
  </si>
  <si>
    <t>Nombre de nœuds (N)</t>
  </si>
  <si>
    <t>Nombre d'arêtes ( E )</t>
  </si>
  <si>
    <t>Nombre de prédicats (P)</t>
  </si>
  <si>
    <t>CC avec E - N + 2</t>
  </si>
  <si>
    <t>CC avec P + 1</t>
  </si>
  <si>
    <t>Valeur</t>
  </si>
  <si>
    <t>Mesure</t>
  </si>
  <si>
    <t>*</t>
  </si>
  <si>
    <t>&lt;=</t>
  </si>
  <si>
    <t>=</t>
  </si>
  <si>
    <t>&lt;</t>
  </si>
  <si>
    <t>++</t>
  </si>
  <si>
    <t>+</t>
  </si>
  <si>
    <t>-</t>
  </si>
  <si>
    <t>n</t>
  </si>
  <si>
    <t>Nt</t>
  </si>
  <si>
    <t>TOTAL occurrences</t>
  </si>
  <si>
    <t>nt</t>
  </si>
  <si>
    <t>TOTAL distincts</t>
  </si>
  <si>
    <t>Opérateur</t>
  </si>
  <si>
    <t>]</t>
  </si>
  <si>
    <t>[</t>
  </si>
  <si>
    <t>for</t>
  </si>
  <si>
    <t>return</t>
  </si>
  <si>
    <t>if</t>
  </si>
  <si>
    <t>;</t>
  </si>
  <si>
    <t>,</t>
  </si>
  <si>
    <t>}</t>
  </si>
  <si>
    <t>{</t>
  </si>
  <si>
    <t>)</t>
  </si>
  <si>
    <t>(</t>
  </si>
  <si>
    <t>int</t>
  </si>
  <si>
    <t>void</t>
  </si>
  <si>
    <t>Occurrences</t>
  </si>
  <si>
    <t>Nd</t>
  </si>
  <si>
    <t>nd</t>
  </si>
  <si>
    <t>swap — appels</t>
  </si>
  <si>
    <t>iqsort — appels</t>
  </si>
  <si>
    <t>iqsort — définition</t>
  </si>
  <si>
    <t>0 — argument de swap</t>
  </si>
  <si>
    <t>0 — condition/initialisation</t>
  </si>
  <si>
    <t>1 — expression arithmétique</t>
  </si>
  <si>
    <t>1 — condition/initialisation</t>
  </si>
  <si>
    <t>j — argument/expression</t>
  </si>
  <si>
    <t>j — incrément ++j</t>
  </si>
  <si>
    <t>j — déclaration/initialisation</t>
  </si>
  <si>
    <t>i — index/argument</t>
  </si>
  <si>
    <t>i — boucle for</t>
  </si>
  <si>
    <t>i — déclaration</t>
  </si>
  <si>
    <t>n-j-1 — expression arithmétique</t>
  </si>
  <si>
    <t>n — utilisation simple</t>
  </si>
  <si>
    <t>a+j+1 — expression arithmétique</t>
  </si>
  <si>
    <t>a[i] — base/indexation</t>
  </si>
  <si>
    <t>a — utilisation simple</t>
  </si>
  <si>
    <t>Opérande / contexte</t>
  </si>
  <si>
    <t>Symbole</t>
  </si>
  <si>
    <t>Résultat</t>
  </si>
  <si>
    <t>Formule</t>
  </si>
  <si>
    <t>Opérateurs distincts</t>
  </si>
  <si>
    <t>Comptage des opérateurs distincts</t>
  </si>
  <si>
    <t>Occurrences totales d'opérateurs</t>
  </si>
  <si>
    <t>Somme des occurrences d'opérateurs</t>
  </si>
  <si>
    <t>Opérandes distincts</t>
  </si>
  <si>
    <t>Comptage des opérandes distincts selon la convention retenue</t>
  </si>
  <si>
    <t>Occurrences totales d'opérandes</t>
  </si>
  <si>
    <t>Somme des occurrences d'opérandes</t>
  </si>
  <si>
    <t>Vocabulaire</t>
  </si>
  <si>
    <t>nt + nd</t>
  </si>
  <si>
    <t>N</t>
  </si>
  <si>
    <t>Longueur</t>
  </si>
  <si>
    <t>Nt + Nd</t>
  </si>
  <si>
    <t>V</t>
  </si>
  <si>
    <t>Volume</t>
  </si>
  <si>
    <t>N × log2(n)</t>
  </si>
  <si>
    <t>D</t>
  </si>
  <si>
    <t>Difficulté</t>
  </si>
  <si>
    <t>(nt / 2) × (Nd / nd)</t>
  </si>
  <si>
    <t>E</t>
  </si>
  <si>
    <t>Effort</t>
  </si>
  <si>
    <t>D × V</t>
  </si>
  <si>
    <t>T</t>
  </si>
  <si>
    <t>B</t>
  </si>
  <si>
    <t>L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</si>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</sst>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2" borderId="1" xfId="0" applyFont="1" applyFill="1" applyBorder="1"/>
    <xf numFmtId="1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3B09-67F9-4B89-9E3D-9D42149FBDB7}">
  <dimension ref="A1:E2"/>
  <sheetViews>
    <sheetView workbookViewId="0">
      <selection activeCell="F17" sqref="F17"/>
    </sheetView>
  </sheetViews>
  <sheetFormatPr baseColWidth="10" defaultRowHeight="14.4" x14ac:dyDescent="0.3"/>
  <cols>
    <col min="1" max="1" width="18.5546875" customWidth="1"/>
    <col min="2" max="2" width="18.33203125" customWidth="1"/>
    <col min="3" max="3" width="11.77734375" customWidth="1"/>
    <col min="4" max="4" width="19.88671875" customWidth="1"/>
    <col min="5" max="5" width="13.88671875" customWidth="1"/>
  </cols>
  <sheetData>
    <row r="1" spans="1:5" x14ac:dyDescent="0.3">
      <c r="A1" t="s">
        <v>1</v>
      </c>
      <c r="B1" t="s">
        <v>0</v>
      </c>
      <c r="C1" t="s">
        <v>4</v>
      </c>
      <c r="D1" t="s">
        <v>3</v>
      </c>
      <c r="E1" t="s">
        <v>5</v>
      </c>
    </row>
    <row r="2" spans="1:5" x14ac:dyDescent="0.3">
      <c r="A2" t="s">
        <v>2</v>
      </c>
      <c r="B2">
        <v>12</v>
      </c>
      <c r="C2">
        <v>10</v>
      </c>
      <c r="D2">
        <v>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3EEB-BFF8-48C4-A50A-2FC0998C3599}">
  <dimension ref="A1:B9"/>
  <sheetViews>
    <sheetView workbookViewId="0">
      <selection activeCell="K21" sqref="K21"/>
    </sheetView>
  </sheetViews>
  <sheetFormatPr baseColWidth="10" defaultRowHeight="14.4" x14ac:dyDescent="0.3"/>
  <cols>
    <col min="1" max="1" width="26.109375" customWidth="1"/>
  </cols>
  <sheetData>
    <row r="1" spans="1:2" ht="19.8" x14ac:dyDescent="0.4">
      <c r="A1" s="1" t="s">
        <v>6</v>
      </c>
    </row>
    <row r="3" spans="1:2" x14ac:dyDescent="0.3">
      <c r="A3" s="2" t="s">
        <v>7</v>
      </c>
      <c r="B3" s="2" t="s">
        <v>13</v>
      </c>
    </row>
    <row r="4" spans="1:2" x14ac:dyDescent="0.3">
      <c r="A4" t="s">
        <v>8</v>
      </c>
      <c r="B4">
        <v>10</v>
      </c>
    </row>
    <row r="5" spans="1:2" x14ac:dyDescent="0.3">
      <c r="A5" t="s">
        <v>9</v>
      </c>
      <c r="B5">
        <v>12</v>
      </c>
    </row>
    <row r="6" spans="1:2" x14ac:dyDescent="0.3">
      <c r="A6" t="s">
        <v>10</v>
      </c>
      <c r="B6">
        <v>3</v>
      </c>
    </row>
    <row r="8" spans="1:2" x14ac:dyDescent="0.3">
      <c r="A8" t="s">
        <v>11</v>
      </c>
      <c r="B8">
        <f>B5-B4+2</f>
        <v>4</v>
      </c>
    </row>
    <row r="9" spans="1:2" x14ac:dyDescent="0.3">
      <c r="A9" t="s">
        <v>12</v>
      </c>
      <c r="B9">
        <f>B6+1</f>
        <v>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83A6-BBBC-484D-8B27-6EC3F5FB7D08}">
  <dimension ref="A1:H23"/>
  <sheetViews>
    <sheetView tabSelected="1" topLeftCell="D1" zoomScale="81" zoomScaleNormal="68" workbookViewId="0">
      <selection activeCell="H21" sqref="H21"/>
    </sheetView>
  </sheetViews>
  <sheetFormatPr baseColWidth="10" defaultRowHeight="14.4" x14ac:dyDescent="0.3"/>
  <cols>
    <col min="1" max="1" width="11.77734375" customWidth="1"/>
    <col min="4" max="4" width="17.44140625" customWidth="1"/>
    <col min="6" max="6" width="30.33203125" customWidth="1"/>
    <col min="8" max="8" width="53.77734375" customWidth="1"/>
  </cols>
  <sheetData>
    <row r="1" spans="1:8" x14ac:dyDescent="0.3">
      <c r="A1" s="4" t="s">
        <v>27</v>
      </c>
      <c r="B1" s="4" t="s">
        <v>41</v>
      </c>
      <c r="C1" s="4" t="s">
        <v>62</v>
      </c>
      <c r="D1" s="4" t="s">
        <v>41</v>
      </c>
      <c r="E1" s="4" t="s">
        <v>63</v>
      </c>
      <c r="F1" s="4" t="s">
        <v>14</v>
      </c>
      <c r="G1" s="4" t="s">
        <v>64</v>
      </c>
      <c r="H1" s="4" t="s">
        <v>65</v>
      </c>
    </row>
    <row r="2" spans="1:8" x14ac:dyDescent="0.3">
      <c r="A2" s="3" t="s">
        <v>40</v>
      </c>
      <c r="B2" s="3">
        <v>1</v>
      </c>
      <c r="C2" s="3" t="s">
        <v>61</v>
      </c>
      <c r="D2" s="3">
        <v>4</v>
      </c>
      <c r="E2" s="3" t="s">
        <v>25</v>
      </c>
      <c r="F2" s="3" t="s">
        <v>66</v>
      </c>
      <c r="G2" s="5">
        <v>17</v>
      </c>
      <c r="H2" s="3" t="s">
        <v>67</v>
      </c>
    </row>
    <row r="3" spans="1:8" x14ac:dyDescent="0.3">
      <c r="A3" s="3" t="s">
        <v>39</v>
      </c>
      <c r="B3" s="3">
        <v>3</v>
      </c>
      <c r="C3" s="3" t="s">
        <v>60</v>
      </c>
      <c r="D3" s="3">
        <v>2</v>
      </c>
      <c r="E3" s="3" t="s">
        <v>23</v>
      </c>
      <c r="F3" s="3" t="s">
        <v>68</v>
      </c>
      <c r="G3" s="5">
        <v>48</v>
      </c>
      <c r="H3" s="3" t="s">
        <v>69</v>
      </c>
    </row>
    <row r="4" spans="1:8" x14ac:dyDescent="0.3">
      <c r="A4" s="3" t="s">
        <v>15</v>
      </c>
      <c r="B4" s="3">
        <v>1</v>
      </c>
      <c r="C4" s="3" t="s">
        <v>59</v>
      </c>
      <c r="D4" s="3">
        <v>1</v>
      </c>
      <c r="E4" s="3" t="s">
        <v>43</v>
      </c>
      <c r="F4" s="3" t="s">
        <v>70</v>
      </c>
      <c r="G4" s="5">
        <v>8</v>
      </c>
      <c r="H4" s="3" t="s">
        <v>71</v>
      </c>
    </row>
    <row r="5" spans="1:8" x14ac:dyDescent="0.3">
      <c r="A5" s="3" t="s">
        <v>38</v>
      </c>
      <c r="B5" s="3">
        <v>8</v>
      </c>
      <c r="C5" s="3" t="s">
        <v>58</v>
      </c>
      <c r="D5" s="3">
        <v>3</v>
      </c>
      <c r="E5" s="3" t="s">
        <v>42</v>
      </c>
      <c r="F5" s="3" t="s">
        <v>72</v>
      </c>
      <c r="G5" s="5">
        <v>36</v>
      </c>
      <c r="H5" s="3" t="s">
        <v>73</v>
      </c>
    </row>
    <row r="6" spans="1:8" x14ac:dyDescent="0.3">
      <c r="A6" s="3" t="s">
        <v>37</v>
      </c>
      <c r="B6" s="3">
        <v>8</v>
      </c>
      <c r="C6" s="3" t="s">
        <v>57</v>
      </c>
      <c r="D6" s="3">
        <v>1</v>
      </c>
      <c r="E6" s="3" t="s">
        <v>22</v>
      </c>
      <c r="F6" s="3" t="s">
        <v>74</v>
      </c>
      <c r="G6" s="6">
        <v>25</v>
      </c>
      <c r="H6" s="3" t="s">
        <v>75</v>
      </c>
    </row>
    <row r="7" spans="1:8" x14ac:dyDescent="0.3">
      <c r="A7" s="3" t="s">
        <v>36</v>
      </c>
      <c r="B7" s="3">
        <v>1</v>
      </c>
      <c r="C7" s="3" t="s">
        <v>56</v>
      </c>
      <c r="D7" s="3">
        <v>1</v>
      </c>
      <c r="E7" s="3" t="s">
        <v>76</v>
      </c>
      <c r="F7" s="3" t="s">
        <v>77</v>
      </c>
      <c r="G7" s="6">
        <f>SUM(G5+G3)</f>
        <v>84</v>
      </c>
      <c r="H7" s="3" t="s">
        <v>78</v>
      </c>
    </row>
    <row r="8" spans="1:8" x14ac:dyDescent="0.3">
      <c r="A8" s="3" t="s">
        <v>35</v>
      </c>
      <c r="B8" s="3">
        <v>1</v>
      </c>
      <c r="C8" s="3" t="s">
        <v>55</v>
      </c>
      <c r="D8" s="3">
        <v>3</v>
      </c>
      <c r="E8" s="3" t="s">
        <v>79</v>
      </c>
      <c r="F8" s="3" t="s">
        <v>80</v>
      </c>
      <c r="G8" s="6">
        <f>G7*LOG(G6,2)</f>
        <v>390.08391994107683</v>
      </c>
      <c r="H8" s="3" t="s">
        <v>81</v>
      </c>
    </row>
    <row r="9" spans="1:8" x14ac:dyDescent="0.3">
      <c r="A9" s="3" t="s">
        <v>34</v>
      </c>
      <c r="B9" s="3">
        <v>9</v>
      </c>
      <c r="C9" s="3" t="s">
        <v>54</v>
      </c>
      <c r="D9" s="3">
        <v>2</v>
      </c>
      <c r="E9" s="3" t="s">
        <v>82</v>
      </c>
      <c r="F9" s="3" t="s">
        <v>83</v>
      </c>
      <c r="G9" s="6">
        <f>(G2/2)*(G5/G4)</f>
        <v>38.25</v>
      </c>
      <c r="H9" s="3" t="s">
        <v>84</v>
      </c>
    </row>
    <row r="10" spans="1:8" x14ac:dyDescent="0.3">
      <c r="A10" s="3" t="s">
        <v>33</v>
      </c>
      <c r="B10" s="3">
        <v>8</v>
      </c>
      <c r="C10" s="3" t="s">
        <v>53</v>
      </c>
      <c r="D10" s="3">
        <v>2</v>
      </c>
      <c r="E10" s="3" t="s">
        <v>85</v>
      </c>
      <c r="F10" s="3" t="s">
        <v>86</v>
      </c>
      <c r="G10" s="6">
        <f>G8*G9</f>
        <v>14920.709937746189</v>
      </c>
      <c r="H10" s="3" t="s">
        <v>87</v>
      </c>
    </row>
    <row r="11" spans="1:8" x14ac:dyDescent="0.3">
      <c r="A11" s="3" t="s">
        <v>32</v>
      </c>
      <c r="B11" s="3">
        <v>2</v>
      </c>
      <c r="C11" s="3" t="s">
        <v>52</v>
      </c>
      <c r="D11" s="3">
        <v>1</v>
      </c>
      <c r="E11" s="3" t="s">
        <v>88</v>
      </c>
      <c r="F11" s="3"/>
      <c r="G11" s="6"/>
      <c r="H11" s="3"/>
    </row>
    <row r="12" spans="1:8" x14ac:dyDescent="0.3">
      <c r="A12" s="3" t="s">
        <v>16</v>
      </c>
      <c r="B12" s="3">
        <v>1</v>
      </c>
      <c r="C12" s="3" t="s">
        <v>51</v>
      </c>
      <c r="D12" s="3">
        <v>4</v>
      </c>
      <c r="E12" s="3" t="s">
        <v>89</v>
      </c>
      <c r="F12" s="3"/>
      <c r="G12" s="6"/>
      <c r="H12" s="3"/>
    </row>
    <row r="13" spans="1:8" x14ac:dyDescent="0.3">
      <c r="A13" s="3" t="s">
        <v>31</v>
      </c>
      <c r="B13" s="3">
        <v>1</v>
      </c>
      <c r="C13" s="3" t="s">
        <v>50</v>
      </c>
      <c r="D13" s="3">
        <v>2</v>
      </c>
      <c r="E13" s="3" t="s">
        <v>90</v>
      </c>
      <c r="F13" s="3"/>
      <c r="G13" s="6"/>
      <c r="H13" s="3"/>
    </row>
    <row r="14" spans="1:8" x14ac:dyDescent="0.3">
      <c r="A14" s="3" t="s">
        <v>30</v>
      </c>
      <c r="B14" s="3">
        <v>1</v>
      </c>
      <c r="C14" s="3" t="s">
        <v>49</v>
      </c>
      <c r="D14" s="3">
        <v>2</v>
      </c>
      <c r="E14" s="3" t="s">
        <v>91</v>
      </c>
      <c r="F14" s="3"/>
      <c r="G14" s="6"/>
      <c r="H14" s="3"/>
    </row>
    <row r="15" spans="1:8" x14ac:dyDescent="0.3">
      <c r="A15" s="3" t="s">
        <v>17</v>
      </c>
      <c r="B15" s="3">
        <v>2</v>
      </c>
      <c r="C15" s="3" t="s">
        <v>48</v>
      </c>
      <c r="D15" s="3">
        <v>1</v>
      </c>
    </row>
    <row r="16" spans="1:8" x14ac:dyDescent="0.3">
      <c r="A16" s="3" t="s">
        <v>18</v>
      </c>
      <c r="B16" s="3">
        <v>2</v>
      </c>
      <c r="C16" s="3" t="s">
        <v>47</v>
      </c>
      <c r="D16" s="3">
        <v>2</v>
      </c>
    </row>
    <row r="17" spans="1:4" x14ac:dyDescent="0.3">
      <c r="A17" s="3" t="s">
        <v>19</v>
      </c>
      <c r="B17" s="3">
        <v>2</v>
      </c>
      <c r="C17" s="3" t="s">
        <v>46</v>
      </c>
      <c r="D17" s="3">
        <v>1</v>
      </c>
    </row>
    <row r="18" spans="1:4" x14ac:dyDescent="0.3">
      <c r="A18" s="3" t="s">
        <v>29</v>
      </c>
      <c r="B18" s="3">
        <v>2</v>
      </c>
      <c r="C18" s="3" t="s">
        <v>45</v>
      </c>
      <c r="D18" s="3">
        <v>2</v>
      </c>
    </row>
    <row r="19" spans="1:4" x14ac:dyDescent="0.3">
      <c r="A19" s="3" t="s">
        <v>28</v>
      </c>
      <c r="B19" s="3">
        <v>2</v>
      </c>
      <c r="C19" s="3" t="s">
        <v>44</v>
      </c>
      <c r="D19" s="3">
        <v>2</v>
      </c>
    </row>
    <row r="20" spans="1:4" x14ac:dyDescent="0.3">
      <c r="A20" s="3" t="s">
        <v>20</v>
      </c>
      <c r="B20" s="3">
        <v>2</v>
      </c>
      <c r="C20" t="s">
        <v>26</v>
      </c>
      <c r="D20">
        <f>COUNTA(C2:C19)</f>
        <v>18</v>
      </c>
    </row>
    <row r="21" spans="1:4" x14ac:dyDescent="0.3">
      <c r="A21" s="3" t="s">
        <v>21</v>
      </c>
      <c r="B21" s="3">
        <v>2</v>
      </c>
      <c r="C21" t="s">
        <v>24</v>
      </c>
      <c r="D21">
        <f>SUM(D2:D19)</f>
        <v>36</v>
      </c>
    </row>
    <row r="22" spans="1:4" x14ac:dyDescent="0.3">
      <c r="A22" t="s">
        <v>26</v>
      </c>
      <c r="B22">
        <f>COUNTA(A2:A21)</f>
        <v>20</v>
      </c>
    </row>
    <row r="23" spans="1:4" x14ac:dyDescent="0.3">
      <c r="A23" t="s">
        <v>24</v>
      </c>
      <c r="B23">
        <f>SUM(B2:B21)</f>
        <v>59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2A8A-1F91-47FD-8139-1D62D160229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LOC</vt:lpstr>
      <vt:lpstr>CC</vt:lpstr>
      <vt:lpstr>HALSTEAD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Karmen Ratiananahary</dc:creator>
  <cp:lastModifiedBy>MEKIDICHE Idris</cp:lastModifiedBy>
  <dcterms:created xsi:type="dcterms:W3CDTF">2026-09-28T12:16:32Z</dcterms:created>
  <dcterms:modified xsi:type="dcterms:W3CDTF">2026-10-08T14:37:57Z</dcterms:modified>
</cp:coreProperties>
</file>